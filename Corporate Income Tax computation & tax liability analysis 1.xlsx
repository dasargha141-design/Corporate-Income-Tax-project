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75b6f964fd786faf/Desktop/"/>
    </mc:Choice>
  </mc:AlternateContent>
  <xr:revisionPtr revIDLastSave="0" documentId="8_{1838D7AE-9D97-43C2-92E7-8561B19D548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tatement of Profit &amp; Loss" sheetId="1" r:id="rId1"/>
    <sheet name="Depreciation Schedule" sheetId="2" r:id="rId2"/>
    <sheet name="Tax Computation" sheetId="3" r:id="rId3"/>
    <sheet name="Assumptions &amp; Note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3" i="3" l="1"/>
  <c r="B12" i="3"/>
  <c r="B11" i="3"/>
  <c r="B10" i="3"/>
  <c r="B9" i="3"/>
  <c r="F7" i="2"/>
  <c r="F6" i="2"/>
  <c r="F5" i="2"/>
  <c r="B21" i="1"/>
  <c r="B8" i="1"/>
  <c r="B14" i="3" l="1"/>
  <c r="B23" i="1"/>
  <c r="B6" i="3" s="1"/>
  <c r="B16" i="3" s="1"/>
  <c r="F8" i="2"/>
  <c r="B18" i="3" s="1"/>
  <c r="B20" i="3" s="1"/>
  <c r="B21" i="3" s="1"/>
  <c r="B28" i="3" s="1"/>
  <c r="B29" i="3" l="1"/>
  <c r="B30" i="3" s="1"/>
  <c r="B31" i="3" l="1"/>
  <c r="B32" i="3" s="1"/>
  <c r="B33" i="3" s="1"/>
  <c r="B35" i="3" s="1"/>
</calcChain>
</file>

<file path=xl/sharedStrings.xml><?xml version="1.0" encoding="utf-8"?>
<sst xmlns="http://schemas.openxmlformats.org/spreadsheetml/2006/main" count="72" uniqueCount="68">
  <si>
    <t>Statement of Profit &amp; Loss for the year ended 31 March 2026 (FY 2025-26)</t>
  </si>
  <si>
    <t>Particulars</t>
  </si>
  <si>
    <t>Amount (Rs.)</t>
  </si>
  <si>
    <t>Revenue from Operations</t>
  </si>
  <si>
    <t>Other Income</t>
  </si>
  <si>
    <t>Total Revenue (A)</t>
  </si>
  <si>
    <t>Expenses</t>
  </si>
  <si>
    <t>Cost of Materials Consumed</t>
  </si>
  <si>
    <t>Employee Benefit Expenses</t>
  </si>
  <si>
    <t>Depreciation &amp; Amortization Expense (Companies Act, Schedule II)</t>
  </si>
  <si>
    <t>Finance Costs</t>
  </si>
  <si>
    <t>Corporate Social Responsibility (CSR) Expenditure</t>
  </si>
  <si>
    <t>Donation - PM CARES Fund</t>
  </si>
  <si>
    <t>Donation - Political Party</t>
  </si>
  <si>
    <t>Provision for Doubtful Debts</t>
  </si>
  <si>
    <t>Penalty for Late Filing of GST Returns</t>
  </si>
  <si>
    <t>Other Administrative &amp; Selling Expenses</t>
  </si>
  <si>
    <t>Total Expenses (B)</t>
  </si>
  <si>
    <t>Net Profit before Tax (A - B)</t>
  </si>
  <si>
    <t>Block of Assets</t>
  </si>
  <si>
    <t>Rate</t>
  </si>
  <si>
    <t>Opening WDV (1 Apr 2025) Rs.</t>
  </si>
  <si>
    <t>Depreciation Rs.</t>
  </si>
  <si>
    <t>Plant &amp; Machinery</t>
  </si>
  <si>
    <t>Furniture &amp; Fixtures</t>
  </si>
  <si>
    <t>Computers &amp; Computer Software</t>
  </si>
  <si>
    <t>Total Depreciation as per Income-tax Act</t>
  </si>
  <si>
    <t>Computation of Total Income &amp; Tax Liability - FY 2025-26 (Assessment Year 2026-27)</t>
  </si>
  <si>
    <t>Domestic company opting for the concessional tax regime under Section 115BAA, Income-tax Act, 1961</t>
  </si>
  <si>
    <t>Net Profit as per Statement of Profit &amp; Loss</t>
  </si>
  <si>
    <t>Add: Inadmissible expenses debited to the Statement of Profit &amp; Loss</t>
  </si>
  <si>
    <t>Depreciation as per Companies Act</t>
  </si>
  <si>
    <t>Donations debited to P&amp;L (disallowed - see Assumptions &amp; Notes)</t>
  </si>
  <si>
    <t>Provision for Doubtful Debts (disallowed - Section 36(1)(vii))</t>
  </si>
  <si>
    <t>Total Additions (C)</t>
  </si>
  <si>
    <t>Income before allowing tax depreciation (D = Net Profit + C)</t>
  </si>
  <si>
    <t>Less: Depreciation as per the Income-tax Act (E)</t>
  </si>
  <si>
    <t>Total Income (D - E)</t>
  </si>
  <si>
    <t>Total Income, rounded off (Section 288A)</t>
  </si>
  <si>
    <t>Tax Rate Assumptions</t>
  </si>
  <si>
    <t>Tax Rate - Section 115BAA</t>
  </si>
  <si>
    <t>Surcharge (flat rate under Section 115BAA)</t>
  </si>
  <si>
    <t>Health &amp; Education Cess</t>
  </si>
  <si>
    <t>Tax on Total Income</t>
  </si>
  <si>
    <t>Add: Surcharge</t>
  </si>
  <si>
    <t>Tax + Surcharge</t>
  </si>
  <si>
    <t>Add: Health &amp; Education Cess</t>
  </si>
  <si>
    <t>Total Tax Liability</t>
  </si>
  <si>
    <t>Total Tax Liability, rounded off (Section 288B)</t>
  </si>
  <si>
    <t>Effective Tax Rate (Total Tax Liability / Total Income)</t>
  </si>
  <si>
    <t>Key Assumptions &amp; Notes</t>
  </si>
  <si>
    <t>2. The company is assumed to be a 'domestic company' under the Income-tax Act, 1961, opting for the concessional tax regime under Section 115BAA (22% base rate).</t>
  </si>
  <si>
    <t>6. Provision for doubtful debts is disallowed for tax purposes; only actual bad debts written off, subject to the conditions in Section 36(2), are allowable under Section 36(1)(vii) for a non-banking company.</t>
  </si>
  <si>
    <t>9. Total Income and Total Tax Liability are rounded off to the nearest Rs. 10 under Sections 288A and 288B respectively.</t>
  </si>
  <si>
    <t>Penalty for late filing of GST Return (disallowed - Section 37(1))</t>
  </si>
  <si>
    <t>CSR Expenditure (Disallowed)</t>
  </si>
  <si>
    <t>4. Since the company has opted for Section 115BAA, deductions are not available (other than Sections 80JJAA and 80M); donations otherwise eligible under Section 80G have therefore been fully disallowed rather than partly allowed.</t>
  </si>
  <si>
    <t>5. CSR expenditure under the Companies Act, 2013 is specifically disallowed as a business deduction under the Income-tax Act, 1961, even though it is a legitimate charge in the Statement of Profit &amp; Loss.</t>
  </si>
  <si>
    <t>7. Penalty for late filing of GST returns is disallowed under Section 37(1) as a payment for infraction of law.</t>
  </si>
  <si>
    <t>8. Book depreciation is not allowable for tax purposes; depreciation as per the Income-tax Act has been separately computed under the WDV method.</t>
  </si>
  <si>
    <t>10. The 22% base rate, 10% flat surcharge and 4% Health &amp; Education Cess have been stable for several years.</t>
  </si>
  <si>
    <t>Depreciation Schedule as per the Income-tax Act, 1961 (WDV Method, Income-tax Rules, 1962)</t>
  </si>
  <si>
    <t>EAST INDUSTRIES PRIVATE LIMITED</t>
  </si>
  <si>
    <t>1. East Industries Private Limited is a fictional company created for a self-study / portfolio project. All figures are illustrative and do not represent any real entity's financial data.</t>
  </si>
  <si>
    <t>Illustrative figures prepared for a portfolio project; amounts in Rs.</t>
  </si>
  <si>
    <t>3. This computation has been prepared in accordance with the Income-tax Act, 1961 and Income-tax Rules, 1962, for FY 2025-26 (Assessment Year 2026-27). Since the cmpany is assumed to be a domestic private limited company subject to statutory audit, the assumed due date for filing the Income Tax Return is 31 October 2026, unless extended bu Government.</t>
  </si>
  <si>
    <t>New assets used for 180 days or more. (Full Depreciation)</t>
  </si>
  <si>
    <t>New assets used for less than 180 days. (Half Depreciation)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</si>
</sst>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0"/>
  </numFmts>
  <fonts count="7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b/>
      <sz val="11"/>
      <name val="Arial"/>
      <charset val="1"/>
    </font>
    <font>
      <sz val="11"/>
      <color rgb="FF000000"/>
      <name val="Arial"/>
      <charset val="1"/>
    </font>
    <font>
      <sz val="11"/>
      <color rgb="FF0000FF"/>
      <name val="Arial"/>
      <charset val="1"/>
    </font>
    <font>
      <sz val="11"/>
      <color rgb="FF008000"/>
      <name val="Arial"/>
      <charset val="1"/>
    </font>
    <font>
      <sz val="9"/>
      <color rgb="FF59595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164" fontId="4" fillId="0" borderId="0" xfId="0" applyNumberFormat="1" applyFont="1"/>
    <xf numFmtId="0" fontId="2" fillId="0" borderId="0" xfId="0" applyFont="1"/>
    <xf numFmtId="164" fontId="2" fillId="0" borderId="0" xfId="0" applyNumberFormat="1" applyFont="1"/>
    <xf numFmtId="164" fontId="2" fillId="3" borderId="0" xfId="0" applyNumberFormat="1" applyFont="1" applyFill="1"/>
    <xf numFmtId="0" fontId="2" fillId="2" borderId="0" xfId="0" applyFont="1" applyFill="1" applyAlignment="1">
      <alignment vertical="top" wrapText="1"/>
    </xf>
    <xf numFmtId="9" fontId="4" fillId="0" borderId="0" xfId="0" applyNumberFormat="1" applyFont="1"/>
    <xf numFmtId="164" fontId="3" fillId="0" borderId="0" xfId="0" applyNumberFormat="1" applyFont="1"/>
    <xf numFmtId="164" fontId="5" fillId="0" borderId="0" xfId="0" applyNumberFormat="1" applyFont="1"/>
    <xf numFmtId="10" fontId="4" fillId="0" borderId="0" xfId="0" applyNumberFormat="1" applyFont="1"/>
    <xf numFmtId="10" fontId="3" fillId="0" borderId="0" xfId="0" applyNumberFormat="1" applyFont="1"/>
    <xf numFmtId="0" fontId="3" fillId="0" borderId="0" xfId="0" applyFont="1" applyAlignment="1">
      <alignment vertical="top" wrapText="1"/>
    </xf>
    <xf numFmtId="0" fontId="1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23"/>
  <sheetViews>
    <sheetView tabSelected="1" zoomScaleNormal="100" workbookViewId="0">
      <selection activeCell="A18" sqref="A18"/>
    </sheetView>
  </sheetViews>
  <sheetFormatPr defaultColWidth="8.6640625" defaultRowHeight="14.4" x14ac:dyDescent="0.3"/>
  <cols>
    <col min="1" max="1" width="54" customWidth="1"/>
    <col min="2" max="2" width="18" customWidth="1"/>
  </cols>
  <sheetData>
    <row r="1" spans="1:2" ht="16.8" x14ac:dyDescent="0.3">
      <c r="A1" s="15" t="s">
        <v>62</v>
      </c>
      <c r="B1" s="15"/>
    </row>
    <row r="2" spans="1:2" x14ac:dyDescent="0.3">
      <c r="A2" s="16" t="s">
        <v>0</v>
      </c>
      <c r="B2" s="16"/>
    </row>
    <row r="3" spans="1:2" x14ac:dyDescent="0.3">
      <c r="A3" s="16" t="s">
        <v>64</v>
      </c>
      <c r="B3" s="16"/>
    </row>
    <row r="5" spans="1:2" x14ac:dyDescent="0.3">
      <c r="A5" s="2" t="s">
        <v>1</v>
      </c>
      <c r="B5" s="2" t="s">
        <v>2</v>
      </c>
    </row>
    <row r="6" spans="1:2" x14ac:dyDescent="0.3">
      <c r="A6" s="3" t="s">
        <v>3</v>
      </c>
      <c r="B6" s="4">
        <v>55500000</v>
      </c>
    </row>
    <row r="7" spans="1:2" x14ac:dyDescent="0.3">
      <c r="A7" s="3" t="s">
        <v>4</v>
      </c>
      <c r="B7" s="4">
        <v>500000</v>
      </c>
    </row>
    <row r="8" spans="1:2" x14ac:dyDescent="0.3">
      <c r="A8" s="5" t="s">
        <v>5</v>
      </c>
      <c r="B8" s="6">
        <f>SUM(B6:B7)</f>
        <v>56000000</v>
      </c>
    </row>
    <row r="10" spans="1:2" x14ac:dyDescent="0.3">
      <c r="A10" s="5" t="s">
        <v>6</v>
      </c>
    </row>
    <row r="11" spans="1:2" x14ac:dyDescent="0.3">
      <c r="A11" s="3" t="s">
        <v>7</v>
      </c>
      <c r="B11" s="4">
        <v>17000000</v>
      </c>
    </row>
    <row r="12" spans="1:2" x14ac:dyDescent="0.3">
      <c r="A12" s="3" t="s">
        <v>8</v>
      </c>
      <c r="B12" s="4">
        <v>6500000</v>
      </c>
    </row>
    <row r="13" spans="1:2" x14ac:dyDescent="0.3">
      <c r="A13" s="3" t="s">
        <v>9</v>
      </c>
      <c r="B13" s="4">
        <v>2500000</v>
      </c>
    </row>
    <row r="14" spans="1:2" x14ac:dyDescent="0.3">
      <c r="A14" s="3" t="s">
        <v>10</v>
      </c>
      <c r="B14" s="4">
        <v>1200000</v>
      </c>
    </row>
    <row r="15" spans="1:2" x14ac:dyDescent="0.3">
      <c r="A15" s="3" t="s">
        <v>11</v>
      </c>
      <c r="B15" s="4">
        <v>300000</v>
      </c>
    </row>
    <row r="16" spans="1:2" x14ac:dyDescent="0.3">
      <c r="A16" s="3" t="s">
        <v>12</v>
      </c>
      <c r="B16" s="4">
        <v>250000</v>
      </c>
    </row>
    <row r="17" spans="1:2" x14ac:dyDescent="0.3">
      <c r="A17" s="3" t="s">
        <v>13</v>
      </c>
      <c r="B17" s="4">
        <v>110500</v>
      </c>
    </row>
    <row r="18" spans="1:2" x14ac:dyDescent="0.3">
      <c r="A18" s="3" t="s">
        <v>14</v>
      </c>
      <c r="B18" s="4">
        <v>533000</v>
      </c>
    </row>
    <row r="19" spans="1:2" x14ac:dyDescent="0.3">
      <c r="A19" s="3" t="s">
        <v>15</v>
      </c>
      <c r="B19" s="4">
        <v>70000</v>
      </c>
    </row>
    <row r="20" spans="1:2" x14ac:dyDescent="0.3">
      <c r="A20" s="3" t="s">
        <v>16</v>
      </c>
      <c r="B20" s="4">
        <v>6500000</v>
      </c>
    </row>
    <row r="21" spans="1:2" x14ac:dyDescent="0.3">
      <c r="A21" s="5" t="s">
        <v>17</v>
      </c>
      <c r="B21" s="6">
        <f>SUM(B11:B20)</f>
        <v>34963500</v>
      </c>
    </row>
    <row r="23" spans="1:2" x14ac:dyDescent="0.3">
      <c r="A23" s="5" t="s">
        <v>18</v>
      </c>
      <c r="B23" s="7">
        <f>B8-B21</f>
        <v>21036500</v>
      </c>
    </row>
  </sheetData>
  <mergeCells count="3">
    <mergeCell ref="A1:B1"/>
    <mergeCell ref="A2:B2"/>
    <mergeCell ref="A3:B3"/>
  </mergeCells>
  <pageMargins left="0.4" right="0.4" top="0.5" bottom="0.5" header="0.511811023622047" footer="0.511811023622047"/>
  <pageSetup fitToHeight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8"/>
  <sheetViews>
    <sheetView zoomScaleNormal="100" workbookViewId="0">
      <selection activeCell="E5" sqref="E5"/>
    </sheetView>
  </sheetViews>
  <sheetFormatPr defaultColWidth="8.6640625" defaultRowHeight="14.4" x14ac:dyDescent="0.3"/>
  <cols>
    <col min="1" max="1" width="30" customWidth="1"/>
    <col min="2" max="2" width="9" customWidth="1"/>
    <col min="3" max="6" width="20" customWidth="1"/>
  </cols>
  <sheetData>
    <row r="1" spans="1:6" ht="16.8" x14ac:dyDescent="0.3">
      <c r="A1" s="15" t="s">
        <v>62</v>
      </c>
      <c r="B1" s="15"/>
      <c r="C1" s="15"/>
      <c r="D1" s="15"/>
      <c r="E1" s="15"/>
      <c r="F1" s="15"/>
    </row>
    <row r="2" spans="1:6" x14ac:dyDescent="0.3">
      <c r="A2" s="16" t="s">
        <v>61</v>
      </c>
      <c r="B2" s="16"/>
      <c r="C2" s="16"/>
      <c r="D2" s="16"/>
      <c r="E2" s="16"/>
      <c r="F2" s="16"/>
    </row>
    <row r="4" spans="1:6" ht="60" customHeight="1" x14ac:dyDescent="0.3">
      <c r="A4" s="8" t="s">
        <v>19</v>
      </c>
      <c r="B4" s="8" t="s">
        <v>20</v>
      </c>
      <c r="C4" s="8" t="s">
        <v>21</v>
      </c>
      <c r="D4" s="8" t="s">
        <v>66</v>
      </c>
      <c r="E4" s="8" t="s">
        <v>67</v>
      </c>
      <c r="F4" s="8" t="s">
        <v>22</v>
      </c>
    </row>
    <row r="5" spans="1:6" x14ac:dyDescent="0.3">
      <c r="A5" s="3" t="s">
        <v>23</v>
      </c>
      <c r="B5" s="9">
        <v>0.15</v>
      </c>
      <c r="C5" s="4">
        <v>14000000</v>
      </c>
      <c r="D5" s="4">
        <v>2300000</v>
      </c>
      <c r="E5" s="4">
        <v>1200000</v>
      </c>
      <c r="F5" s="10">
        <f>(C5+D5)*B5+E5*B5/2</f>
        <v>2535000</v>
      </c>
    </row>
    <row r="6" spans="1:6" x14ac:dyDescent="0.3">
      <c r="A6" s="3" t="s">
        <v>24</v>
      </c>
      <c r="B6" s="9">
        <v>0.1</v>
      </c>
      <c r="C6" s="4">
        <v>2500000</v>
      </c>
      <c r="D6" s="4">
        <v>0</v>
      </c>
      <c r="E6" s="4">
        <v>0</v>
      </c>
      <c r="F6" s="10">
        <f>(C6+D6)*B6+E6*B6/2</f>
        <v>250000</v>
      </c>
    </row>
    <row r="7" spans="1:6" x14ac:dyDescent="0.3">
      <c r="A7" s="3" t="s">
        <v>25</v>
      </c>
      <c r="B7" s="9">
        <v>0.4</v>
      </c>
      <c r="C7" s="4">
        <v>700000</v>
      </c>
      <c r="D7" s="4">
        <v>0</v>
      </c>
      <c r="E7" s="4">
        <v>0</v>
      </c>
      <c r="F7" s="10">
        <f>(C7+D7)*B7+E7*B7/2</f>
        <v>280000</v>
      </c>
    </row>
    <row r="8" spans="1:6" x14ac:dyDescent="0.3">
      <c r="A8" s="5" t="s">
        <v>26</v>
      </c>
      <c r="F8" s="7">
        <f>SUM(F5:F7)</f>
        <v>3065000</v>
      </c>
    </row>
  </sheetData>
  <mergeCells count="2">
    <mergeCell ref="A1:F1"/>
    <mergeCell ref="A2:F2"/>
  </mergeCells>
  <pageMargins left="0.4" right="0.4" top="0.5" bottom="0.5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35"/>
  <sheetViews>
    <sheetView zoomScaleNormal="100" workbookViewId="0">
      <selection activeCell="B35" sqref="B35"/>
    </sheetView>
  </sheetViews>
  <sheetFormatPr defaultColWidth="8.6640625" defaultRowHeight="14.4" x14ac:dyDescent="0.3"/>
  <cols>
    <col min="1" max="1" width="62" customWidth="1"/>
    <col min="2" max="2" width="18" customWidth="1"/>
  </cols>
  <sheetData>
    <row r="1" spans="1:2" ht="16.8" x14ac:dyDescent="0.3">
      <c r="A1" s="15" t="s">
        <v>62</v>
      </c>
      <c r="B1" s="15"/>
    </row>
    <row r="2" spans="1:2" x14ac:dyDescent="0.3">
      <c r="A2" s="16" t="s">
        <v>27</v>
      </c>
      <c r="B2" s="16"/>
    </row>
    <row r="3" spans="1:2" x14ac:dyDescent="0.3">
      <c r="A3" s="16" t="s">
        <v>28</v>
      </c>
      <c r="B3" s="16"/>
    </row>
    <row r="5" spans="1:2" x14ac:dyDescent="0.3">
      <c r="A5" s="2" t="s">
        <v>1</v>
      </c>
      <c r="B5" s="2" t="s">
        <v>2</v>
      </c>
    </row>
    <row r="6" spans="1:2" x14ac:dyDescent="0.3">
      <c r="A6" s="3" t="s">
        <v>29</v>
      </c>
      <c r="B6" s="11">
        <f>'Statement of Profit &amp; Loss'!B23</f>
        <v>21036500</v>
      </c>
    </row>
    <row r="8" spans="1:2" x14ac:dyDescent="0.3">
      <c r="A8" s="5" t="s">
        <v>30</v>
      </c>
    </row>
    <row r="9" spans="1:2" x14ac:dyDescent="0.3">
      <c r="A9" s="3" t="s">
        <v>31</v>
      </c>
      <c r="B9" s="11">
        <f>'Statement of Profit &amp; Loss'!B13</f>
        <v>2500000</v>
      </c>
    </row>
    <row r="10" spans="1:2" x14ac:dyDescent="0.3">
      <c r="A10" s="3" t="s">
        <v>55</v>
      </c>
      <c r="B10" s="11">
        <f>'Statement of Profit &amp; Loss'!B15</f>
        <v>300000</v>
      </c>
    </row>
    <row r="11" spans="1:2" x14ac:dyDescent="0.3">
      <c r="A11" s="3" t="s">
        <v>32</v>
      </c>
      <c r="B11" s="11">
        <f>'Statement of Profit &amp; Loss'!B16+'Statement of Profit &amp; Loss'!B17</f>
        <v>360500</v>
      </c>
    </row>
    <row r="12" spans="1:2" x14ac:dyDescent="0.3">
      <c r="A12" s="3" t="s">
        <v>33</v>
      </c>
      <c r="B12" s="11">
        <f>'Statement of Profit &amp; Loss'!B18</f>
        <v>533000</v>
      </c>
    </row>
    <row r="13" spans="1:2" x14ac:dyDescent="0.3">
      <c r="A13" s="3" t="s">
        <v>54</v>
      </c>
      <c r="B13" s="11">
        <f>'Statement of Profit &amp; Loss'!B19</f>
        <v>70000</v>
      </c>
    </row>
    <row r="14" spans="1:2" x14ac:dyDescent="0.3">
      <c r="A14" s="5" t="s">
        <v>34</v>
      </c>
      <c r="B14" s="6">
        <f>SUM(B9:B13)</f>
        <v>3763500</v>
      </c>
    </row>
    <row r="16" spans="1:2" x14ac:dyDescent="0.3">
      <c r="A16" s="3" t="s">
        <v>35</v>
      </c>
      <c r="B16" s="10">
        <f>B6+B14</f>
        <v>24800000</v>
      </c>
    </row>
    <row r="18" spans="1:2" x14ac:dyDescent="0.3">
      <c r="A18" s="3" t="s">
        <v>36</v>
      </c>
      <c r="B18" s="11">
        <f>'Depreciation Schedule'!F8</f>
        <v>3065000</v>
      </c>
    </row>
    <row r="20" spans="1:2" x14ac:dyDescent="0.3">
      <c r="A20" s="5" t="s">
        <v>37</v>
      </c>
      <c r="B20" s="6">
        <f>B16-B18</f>
        <v>21735000</v>
      </c>
    </row>
    <row r="21" spans="1:2" x14ac:dyDescent="0.3">
      <c r="A21" s="5" t="s">
        <v>38</v>
      </c>
      <c r="B21" s="7">
        <f>ROUND(B20/10,0)*10</f>
        <v>21735000</v>
      </c>
    </row>
    <row r="23" spans="1:2" x14ac:dyDescent="0.3">
      <c r="A23" s="5" t="s">
        <v>39</v>
      </c>
    </row>
    <row r="24" spans="1:2" x14ac:dyDescent="0.3">
      <c r="A24" s="3" t="s">
        <v>40</v>
      </c>
      <c r="B24" s="12">
        <v>0.22</v>
      </c>
    </row>
    <row r="25" spans="1:2" x14ac:dyDescent="0.3">
      <c r="A25" s="3" t="s">
        <v>41</v>
      </c>
      <c r="B25" s="12">
        <v>0.1</v>
      </c>
    </row>
    <row r="26" spans="1:2" x14ac:dyDescent="0.3">
      <c r="A26" s="3" t="s">
        <v>42</v>
      </c>
      <c r="B26" s="12">
        <v>0.04</v>
      </c>
    </row>
    <row r="28" spans="1:2" x14ac:dyDescent="0.3">
      <c r="A28" s="3" t="s">
        <v>43</v>
      </c>
      <c r="B28" s="10">
        <f>B21*B24</f>
        <v>4781700</v>
      </c>
    </row>
    <row r="29" spans="1:2" x14ac:dyDescent="0.3">
      <c r="A29" s="3" t="s">
        <v>44</v>
      </c>
      <c r="B29" s="10">
        <f>B28*B25</f>
        <v>478170</v>
      </c>
    </row>
    <row r="30" spans="1:2" x14ac:dyDescent="0.3">
      <c r="A30" s="5" t="s">
        <v>45</v>
      </c>
      <c r="B30" s="6">
        <f>B28+B29</f>
        <v>5259870</v>
      </c>
    </row>
    <row r="31" spans="1:2" x14ac:dyDescent="0.3">
      <c r="A31" s="3" t="s">
        <v>46</v>
      </c>
      <c r="B31" s="10">
        <f>B30*B26</f>
        <v>210394.80000000002</v>
      </c>
    </row>
    <row r="32" spans="1:2" x14ac:dyDescent="0.3">
      <c r="A32" s="5" t="s">
        <v>47</v>
      </c>
      <c r="B32" s="6">
        <f>B30+B31</f>
        <v>5470264.7999999998</v>
      </c>
    </row>
    <row r="33" spans="1:2" x14ac:dyDescent="0.3">
      <c r="A33" s="5" t="s">
        <v>48</v>
      </c>
      <c r="B33" s="7">
        <f>ROUND(B32/10,0)*10</f>
        <v>5470260</v>
      </c>
    </row>
    <row r="35" spans="1:2" x14ac:dyDescent="0.3">
      <c r="A35" s="3" t="s">
        <v>49</v>
      </c>
      <c r="B35" s="13">
        <f>B33/B21</f>
        <v>0.25167977915804002</v>
      </c>
    </row>
  </sheetData>
  <mergeCells count="3">
    <mergeCell ref="A1:B1"/>
    <mergeCell ref="A2:B2"/>
    <mergeCell ref="A3:B3"/>
  </mergeCells>
  <pageMargins left="0.4" right="0.4" top="0.5" bottom="0.5" header="0.511811023622047" footer="0.511811023622047"/>
  <pageSetup fitToHeight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21"/>
  <sheetViews>
    <sheetView zoomScaleNormal="100" workbookViewId="0">
      <selection activeCell="A9" sqref="A9"/>
    </sheetView>
  </sheetViews>
  <sheetFormatPr defaultColWidth="8.6640625" defaultRowHeight="14.4" x14ac:dyDescent="0.3"/>
  <cols>
    <col min="1" max="1" width="90" customWidth="1"/>
  </cols>
  <sheetData>
    <row r="1" spans="1:1" ht="16.8" x14ac:dyDescent="0.3">
      <c r="A1" s="1" t="s">
        <v>50</v>
      </c>
    </row>
    <row r="3" spans="1:1" ht="42" customHeight="1" x14ac:dyDescent="0.3">
      <c r="A3" s="14" t="s">
        <v>63</v>
      </c>
    </row>
    <row r="5" spans="1:1" ht="27.75" customHeight="1" x14ac:dyDescent="0.3">
      <c r="A5" s="14" t="s">
        <v>51</v>
      </c>
    </row>
    <row r="7" spans="1:1" ht="60" customHeight="1" x14ac:dyDescent="0.3">
      <c r="A7" s="14" t="s">
        <v>65</v>
      </c>
    </row>
    <row r="9" spans="1:1" ht="42" customHeight="1" x14ac:dyDescent="0.3">
      <c r="A9" s="14" t="s">
        <v>56</v>
      </c>
    </row>
    <row r="11" spans="1:1" ht="42" customHeight="1" x14ac:dyDescent="0.3">
      <c r="A11" s="14" t="s">
        <v>57</v>
      </c>
    </row>
    <row r="13" spans="1:1" ht="42" customHeight="1" x14ac:dyDescent="0.3">
      <c r="A13" s="14" t="s">
        <v>52</v>
      </c>
    </row>
    <row r="15" spans="1:1" ht="30.6" customHeight="1" x14ac:dyDescent="0.3">
      <c r="A15" s="14" t="s">
        <v>58</v>
      </c>
    </row>
    <row r="17" spans="1:1" ht="31.8" customHeight="1" x14ac:dyDescent="0.3">
      <c r="A17" s="14" t="s">
        <v>59</v>
      </c>
    </row>
    <row r="19" spans="1:1" ht="27.75" customHeight="1" x14ac:dyDescent="0.3">
      <c r="A19" s="14" t="s">
        <v>53</v>
      </c>
    </row>
    <row r="21" spans="1:1" ht="30.6" customHeight="1" x14ac:dyDescent="0.3">
      <c r="A21" s="14" t="s">
        <v>60</v>
      </c>
    </row>
  </sheetData>
  <pageMargins left="0.4" right="0.4" top="0.5" bottom="0.5" header="0.511811023622047" footer="0.511811023622047"/>
  <pageSetup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Statement of Profit &amp; Loss</vt:lpstr>
      <vt:lpstr>Depreciation Schedule</vt:lpstr>
      <vt:lpstr>Tax Computation</vt:lpstr>
      <vt:lpstr>Assumptions &amp;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Argha Kamal Das</cp:lastModifiedBy>
  <cp:revision>0</cp:revision>
  <dcterms:created xsi:type="dcterms:W3CDTF">2026-07-04T19:36:37Z</dcterms:created>
  <dcterms:modified xsi:type="dcterms:W3CDTF">2026-07-05T10:20:50Z</dcterms:modified>
  <dc:language>en-US</dc:language>
</cp:coreProperties>
</file>